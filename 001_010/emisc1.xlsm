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git\emisc\001_010\"/>
    </mc:Choice>
  </mc:AlternateContent>
  <bookViews>
    <workbookView xWindow="240" yWindow="105" windowWidth="14805" windowHeight="8010" activeTab="6"/>
  </bookViews>
  <sheets>
    <sheet name="001" sheetId="2" r:id="rId1"/>
    <sheet name="002" sheetId="3" r:id="rId2"/>
    <sheet name="003" sheetId="4" r:id="rId3"/>
    <sheet name="004" sheetId="5" r:id="rId4"/>
    <sheet name="005" sheetId="6" r:id="rId5"/>
    <sheet name="006" sheetId="1" r:id="rId6"/>
    <sheet name="007" sheetId="7" r:id="rId7"/>
  </sheets>
  <functionGroups builtInGroupCount="18"/>
  <definedNames>
    <definedName name="_xlnm._FilterDatabase" localSheetId="3" hidden="1">'004'!$B$2:$I$6</definedName>
    <definedName name="计算">EVALUATE('006'!XFD1)</definedName>
  </definedNames>
  <calcPr calcId="152511"/>
</workbook>
</file>

<file path=xl/calcChain.xml><?xml version="1.0" encoding="utf-8"?>
<calcChain xmlns="http://schemas.openxmlformats.org/spreadsheetml/2006/main">
  <c r="C2" i="2" l="1"/>
  <c r="C3" i="7"/>
  <c r="D3" i="7"/>
  <c r="E3" i="7"/>
  <c r="F3" i="7"/>
  <c r="G3" i="7"/>
  <c r="H3" i="7"/>
  <c r="C4" i="7"/>
  <c r="D4" i="7"/>
  <c r="E4" i="7"/>
  <c r="F4" i="7"/>
  <c r="G4" i="7"/>
  <c r="H4" i="7"/>
  <c r="C5" i="7"/>
  <c r="D5" i="7"/>
  <c r="E5" i="7"/>
  <c r="F5" i="7"/>
  <c r="G5" i="7"/>
  <c r="H5" i="7"/>
  <c r="C6" i="7"/>
  <c r="D6" i="7"/>
  <c r="E6" i="7"/>
  <c r="F6" i="7"/>
  <c r="G6" i="7"/>
  <c r="H6" i="7"/>
  <c r="C7" i="7"/>
  <c r="D7" i="7"/>
  <c r="E7" i="7"/>
  <c r="F7" i="7"/>
  <c r="G7" i="7"/>
  <c r="H7" i="7"/>
  <c r="C8" i="7"/>
  <c r="D8" i="7"/>
  <c r="E8" i="7"/>
  <c r="F8" i="7"/>
  <c r="G8" i="7"/>
  <c r="H8" i="7"/>
  <c r="C9" i="7"/>
  <c r="D9" i="7"/>
  <c r="E9" i="7"/>
  <c r="F9" i="7"/>
  <c r="G9" i="7"/>
  <c r="H9" i="7"/>
  <c r="D3" i="6"/>
  <c r="D4" i="6"/>
  <c r="E4" i="6" s="1"/>
  <c r="D5" i="6"/>
  <c r="D6" i="6"/>
  <c r="E6" i="6"/>
  <c r="D7" i="6"/>
  <c r="H7" i="6"/>
  <c r="D8" i="6"/>
  <c r="D9" i="6"/>
  <c r="D10" i="6"/>
  <c r="E10" i="6"/>
  <c r="H3" i="5"/>
  <c r="I3" i="5"/>
  <c r="H4" i="5"/>
  <c r="I4" i="5"/>
  <c r="I7" i="5"/>
  <c r="I8" i="5"/>
  <c r="H11" i="5"/>
  <c r="H12" i="5"/>
  <c r="C2" i="4"/>
  <c r="D2" i="4"/>
  <c r="C3" i="4"/>
  <c r="D3" i="4"/>
  <c r="C4" i="4"/>
  <c r="D4" i="4"/>
  <c r="C5" i="4"/>
  <c r="D5" i="4"/>
  <c r="C6" i="4"/>
  <c r="D6" i="4"/>
  <c r="C7" i="4"/>
  <c r="D7" i="4"/>
  <c r="C8" i="4"/>
  <c r="D8" i="4"/>
  <c r="C9" i="4"/>
  <c r="D9" i="4"/>
  <c r="C10" i="4"/>
  <c r="D10" i="4"/>
  <c r="C11" i="4"/>
  <c r="D11" i="4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C3" i="2"/>
  <c r="C4" i="2"/>
  <c r="C5" i="2"/>
  <c r="C6" i="2"/>
  <c r="C7" i="2"/>
  <c r="C8" i="2"/>
  <c r="C9" i="2"/>
  <c r="C10" i="2"/>
  <c r="B3" i="1" l="1"/>
  <c r="B4" i="1"/>
  <c r="B5" i="1"/>
  <c r="B6" i="1"/>
  <c r="B2" i="1"/>
  <c r="C5" i="1"/>
  <c r="C6" i="1"/>
  <c r="C3" i="1"/>
  <c r="C4" i="1"/>
  <c r="C2" i="1"/>
</calcChain>
</file>

<file path=xl/sharedStrings.xml><?xml version="1.0" encoding="utf-8"?>
<sst xmlns="http://schemas.openxmlformats.org/spreadsheetml/2006/main" count="129" uniqueCount="70">
  <si>
    <t>20,30,40</t>
  </si>
  <si>
    <t>0.7,0.7,0.7</t>
  </si>
  <si>
    <t>1,2,3,4,5,6,7</t>
  </si>
  <si>
    <t>1,3,4</t>
    <phoneticPr fontId="1" type="noConversion"/>
  </si>
  <si>
    <t>Before</t>
    <phoneticPr fontId="1" type="noConversion"/>
  </si>
  <si>
    <t>After</t>
    <phoneticPr fontId="1" type="noConversion"/>
  </si>
  <si>
    <t>Process</t>
    <phoneticPr fontId="1" type="noConversion"/>
  </si>
  <si>
    <t>EVALUATE(B2)</t>
    <phoneticPr fontId="1" type="noConversion"/>
  </si>
  <si>
    <t>玄武</t>
    <phoneticPr fontId="1" type="noConversion"/>
  </si>
  <si>
    <t>朱雀</t>
    <phoneticPr fontId="1" type="noConversion"/>
  </si>
  <si>
    <t>白虎</t>
    <phoneticPr fontId="1" type="noConversion"/>
  </si>
  <si>
    <t>青龙</t>
    <phoneticPr fontId="1" type="noConversion"/>
  </si>
  <si>
    <t>各列内容</t>
    <phoneticPr fontId="1" type="noConversion"/>
  </si>
  <si>
    <t>After(公式)</t>
    <phoneticPr fontId="1" type="noConversion"/>
  </si>
  <si>
    <t>猫</t>
  </si>
  <si>
    <t>豹子</t>
    <phoneticPr fontId="1" type="noConversion"/>
  </si>
  <si>
    <t>老虎</t>
  </si>
  <si>
    <t>狮子</t>
  </si>
  <si>
    <t>After(替换)</t>
    <phoneticPr fontId="1" type="noConversion"/>
  </si>
  <si>
    <t>驴</t>
    <phoneticPr fontId="1" type="noConversion"/>
  </si>
  <si>
    <t>After(公式)</t>
    <phoneticPr fontId="1" type="noConversion"/>
  </si>
  <si>
    <t>After(格式)</t>
    <phoneticPr fontId="1" type="noConversion"/>
  </si>
  <si>
    <t>Before</t>
    <phoneticPr fontId="1" type="noConversion"/>
  </si>
  <si>
    <t>?卓</t>
    <phoneticPr fontId="1" type="noConversion"/>
  </si>
  <si>
    <t>苹*</t>
    <phoneticPr fontId="1" type="noConversion"/>
  </si>
  <si>
    <t>数量</t>
    <phoneticPr fontId="1" type="noConversion"/>
  </si>
  <si>
    <t>名称</t>
    <phoneticPr fontId="1" type="noConversion"/>
  </si>
  <si>
    <t>&gt;10000</t>
    <phoneticPr fontId="1" type="noConversion"/>
  </si>
  <si>
    <t>设备</t>
    <phoneticPr fontId="1" type="noConversion"/>
  </si>
  <si>
    <t>&lt;1</t>
    <phoneticPr fontId="1" type="noConversion"/>
  </si>
  <si>
    <t>食物</t>
    <phoneticPr fontId="1" type="noConversion"/>
  </si>
  <si>
    <t>安卓</t>
    <phoneticPr fontId="1" type="noConversion"/>
  </si>
  <si>
    <t>价格</t>
    <phoneticPr fontId="1" type="noConversion"/>
  </si>
  <si>
    <t>类型</t>
    <phoneticPr fontId="1" type="noConversion"/>
  </si>
  <si>
    <t>苹果</t>
    <phoneticPr fontId="1" type="noConversion"/>
  </si>
  <si>
    <t>白菜</t>
    <phoneticPr fontId="1" type="noConversion"/>
  </si>
  <si>
    <t>萝卜</t>
    <phoneticPr fontId="1" type="noConversion"/>
  </si>
  <si>
    <t>使用sumif</t>
    <phoneticPr fontId="1" type="noConversion"/>
  </si>
  <si>
    <t>奇怪的自定义</t>
    <phoneticPr fontId="1" type="noConversion"/>
  </si>
  <si>
    <t>科学计数</t>
    <phoneticPr fontId="1" type="noConversion"/>
  </si>
  <si>
    <t>空</t>
    <phoneticPr fontId="1" type="noConversion"/>
  </si>
  <si>
    <t>百分比</t>
    <phoneticPr fontId="1" type="noConversion"/>
  </si>
  <si>
    <t>错误</t>
    <phoneticPr fontId="1" type="noConversion"/>
  </si>
  <si>
    <t>时间</t>
    <phoneticPr fontId="1" type="noConversion"/>
  </si>
  <si>
    <t>布尔</t>
    <phoneticPr fontId="1" type="noConversion"/>
  </si>
  <si>
    <t>日期</t>
    <phoneticPr fontId="1" type="noConversion"/>
  </si>
  <si>
    <t>七</t>
    <phoneticPr fontId="1" type="noConversion"/>
  </si>
  <si>
    <t>字符串</t>
    <phoneticPr fontId="1" type="noConversion"/>
  </si>
  <si>
    <t>货币(美元)</t>
    <phoneticPr fontId="1" type="noConversion"/>
  </si>
  <si>
    <t>浮点数</t>
    <phoneticPr fontId="1" type="noConversion"/>
  </si>
  <si>
    <t>数值(两位小数)</t>
    <phoneticPr fontId="1" type="noConversion"/>
  </si>
  <si>
    <t>整数</t>
    <phoneticPr fontId="1" type="noConversion"/>
  </si>
  <si>
    <t>常规</t>
    <phoneticPr fontId="1" type="noConversion"/>
  </si>
  <si>
    <t>实质值</t>
    <phoneticPr fontId="1" type="noConversion"/>
  </si>
  <si>
    <t>数据类型</t>
    <phoneticPr fontId="1" type="noConversion"/>
  </si>
  <si>
    <t>数值+1</t>
    <phoneticPr fontId="1" type="noConversion"/>
  </si>
  <si>
    <t>数据输出</t>
    <phoneticPr fontId="1" type="noConversion"/>
  </si>
  <si>
    <t>单元格格式</t>
    <phoneticPr fontId="1" type="noConversion"/>
  </si>
  <si>
    <t>FLOOR</t>
    <phoneticPr fontId="1" type="noConversion"/>
  </si>
  <si>
    <t>CEILING</t>
    <phoneticPr fontId="1" type="noConversion"/>
  </si>
  <si>
    <t>MROUND</t>
    <phoneticPr fontId="1" type="noConversion"/>
  </si>
  <si>
    <t>ROUNDDOWN</t>
    <phoneticPr fontId="1" type="noConversion"/>
  </si>
  <si>
    <t>ROUNDUP</t>
    <phoneticPr fontId="1" type="noConversion"/>
  </si>
  <si>
    <t>ROUND</t>
    <phoneticPr fontId="1" type="noConversion"/>
  </si>
  <si>
    <t>舍5倍</t>
    <phoneticPr fontId="1" type="noConversion"/>
  </si>
  <si>
    <t>入5倍</t>
    <phoneticPr fontId="1" type="noConversion"/>
  </si>
  <si>
    <t>舍入5倍</t>
    <phoneticPr fontId="1" type="noConversion"/>
  </si>
  <si>
    <t>舍100</t>
    <phoneticPr fontId="1" type="noConversion"/>
  </si>
  <si>
    <t>入100</t>
    <phoneticPr fontId="1" type="noConversion"/>
  </si>
  <si>
    <t>舍入100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</si>
</sst>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[$-F400]h:mm:ss\ AM/PM"/>
    <numFmt numFmtId="177" formatCode="0&quot;米&quot;"/>
    <numFmt numFmtId="178" formatCode="0.00_ "/>
    <numFmt numFmtId="179" formatCode="&quot;这&quot;&quot;个&quot;0&quot;呵&quot;&quot;呵&quot;"/>
    <numFmt numFmtId="180" formatCode="\$#,##0;\-\$#,##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0" tint="-0.249977111117893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76" fontId="3" fillId="0" borderId="0"/>
  </cellStyleXfs>
  <cellXfs count="40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2" fillId="3" borderId="1" xfId="0" applyFont="1" applyFill="1" applyBorder="1"/>
    <xf numFmtId="3" fontId="0" fillId="0" borderId="1" xfId="0" quotePrefix="1" applyNumberFormat="1" applyBorder="1"/>
    <xf numFmtId="0" fontId="0" fillId="4" borderId="1" xfId="0" applyFill="1" applyBorder="1"/>
    <xf numFmtId="176" fontId="3" fillId="0" borderId="0" xfId="1"/>
    <xf numFmtId="14" fontId="3" fillId="0" borderId="0" xfId="1" applyNumberFormat="1"/>
    <xf numFmtId="176" fontId="2" fillId="0" borderId="0" xfId="1" applyFont="1"/>
    <xf numFmtId="176" fontId="2" fillId="3" borderId="0" xfId="1" applyFont="1" applyFill="1"/>
    <xf numFmtId="176" fontId="2" fillId="2" borderId="0" xfId="1" applyFont="1" applyFill="1"/>
    <xf numFmtId="176" fontId="3" fillId="0" borderId="1" xfId="1" applyBorder="1"/>
    <xf numFmtId="176" fontId="3" fillId="2" borderId="0" xfId="1" applyFill="1"/>
    <xf numFmtId="176" fontId="3" fillId="4" borderId="1" xfId="1" applyFill="1" applyBorder="1"/>
    <xf numFmtId="176" fontId="3" fillId="0" borderId="0" xfId="1" applyNumberFormat="1"/>
    <xf numFmtId="177" fontId="3" fillId="0" borderId="0" xfId="1" applyNumberFormat="1"/>
    <xf numFmtId="176" fontId="2" fillId="0" borderId="1" xfId="1" applyFont="1" applyFill="1" applyBorder="1"/>
    <xf numFmtId="176" fontId="2" fillId="0" borderId="1" xfId="1" applyFont="1" applyBorder="1"/>
    <xf numFmtId="176" fontId="4" fillId="0" borderId="2" xfId="1" applyFont="1" applyFill="1" applyBorder="1"/>
    <xf numFmtId="178" fontId="3" fillId="0" borderId="0" xfId="1" applyNumberFormat="1"/>
    <xf numFmtId="178" fontId="3" fillId="0" borderId="0" xfId="1" applyNumberFormat="1" applyBorder="1"/>
    <xf numFmtId="178" fontId="3" fillId="0" borderId="1" xfId="1" applyNumberFormat="1" applyBorder="1"/>
    <xf numFmtId="179" fontId="3" fillId="0" borderId="1" xfId="1" quotePrefix="1" applyNumberFormat="1" applyBorder="1"/>
    <xf numFmtId="11" fontId="3" fillId="0" borderId="1" xfId="1" quotePrefix="1" applyNumberFormat="1" applyBorder="1"/>
    <xf numFmtId="176" fontId="3" fillId="0" borderId="1" xfId="1" applyFill="1" applyBorder="1"/>
    <xf numFmtId="9" fontId="3" fillId="0" borderId="1" xfId="1" quotePrefix="1" applyNumberFormat="1" applyBorder="1"/>
    <xf numFmtId="176" fontId="3" fillId="0" borderId="1" xfId="1" quotePrefix="1" applyNumberFormat="1" applyBorder="1"/>
    <xf numFmtId="14" fontId="3" fillId="0" borderId="1" xfId="1" quotePrefix="1" applyNumberFormat="1" applyBorder="1"/>
    <xf numFmtId="180" fontId="3" fillId="0" borderId="1" xfId="1" quotePrefix="1" applyNumberFormat="1" applyBorder="1"/>
    <xf numFmtId="178" fontId="3" fillId="0" borderId="1" xfId="1" quotePrefix="1" applyNumberFormat="1" applyBorder="1"/>
    <xf numFmtId="176" fontId="2" fillId="0" borderId="0" xfId="1" applyFont="1" applyBorder="1"/>
    <xf numFmtId="14" fontId="2" fillId="0" borderId="1" xfId="1" applyNumberFormat="1" applyFont="1" applyBorder="1"/>
    <xf numFmtId="176" fontId="2" fillId="3" borderId="1" xfId="1" applyFont="1" applyFill="1" applyBorder="1"/>
    <xf numFmtId="176" fontId="2" fillId="2" borderId="1" xfId="1" applyFont="1" applyFill="1" applyBorder="1"/>
    <xf numFmtId="176" fontId="5" fillId="0" borderId="0" xfId="1" applyFont="1"/>
    <xf numFmtId="0" fontId="3" fillId="0" borderId="0" xfId="1" applyNumberFormat="1"/>
    <xf numFmtId="0" fontId="3" fillId="0" borderId="1" xfId="1" applyNumberFormat="1" applyBorder="1"/>
    <xf numFmtId="0" fontId="2" fillId="0" borderId="1" xfId="1" applyNumberFormat="1" applyFont="1" applyBorder="1"/>
    <xf numFmtId="0" fontId="2" fillId="0" borderId="1" xfId="1" applyNumberFormat="1" applyFont="1" applyFill="1" applyBorder="1"/>
    <xf numFmtId="0" fontId="3" fillId="0" borderId="1" xfId="1" quotePrefix="1" applyNumberFormat="1" applyBorder="1"/>
  </cellXfs>
  <cellStyles count="2">
    <cellStyle name="常规" xfId="0" builtinId="0"/>
    <cellStyle name="常规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5"/>
  <sheetViews>
    <sheetView workbookViewId="0">
      <selection activeCell="E15" sqref="E15"/>
    </sheetView>
  </sheetViews>
  <sheetFormatPr defaultRowHeight="13.5" x14ac:dyDescent="0.15"/>
  <cols>
    <col min="1" max="1" width="9" style="6"/>
    <col min="2" max="2" width="10.5" style="6" bestFit="1" customWidth="1"/>
    <col min="3" max="4" width="9" style="6"/>
    <col min="5" max="5" width="9.5" style="6" bestFit="1" customWidth="1"/>
    <col min="6" max="7" width="9" style="6"/>
    <col min="8" max="8" width="9.5" style="6" bestFit="1" customWidth="1"/>
    <col min="9" max="16384" width="9" style="6"/>
  </cols>
  <sheetData>
    <row r="1" spans="2:8" s="8" customFormat="1" x14ac:dyDescent="0.15">
      <c r="B1" s="10" t="s">
        <v>4</v>
      </c>
      <c r="C1" s="9" t="s">
        <v>5</v>
      </c>
    </row>
    <row r="2" spans="2:8" x14ac:dyDescent="0.15">
      <c r="B2" s="7">
        <v>43591.791666666664</v>
      </c>
      <c r="C2" s="35">
        <f>--TEXT(B2,"yyyy")</f>
        <v>2019</v>
      </c>
    </row>
    <row r="3" spans="2:8" x14ac:dyDescent="0.15">
      <c r="B3" s="7">
        <v>43592</v>
      </c>
      <c r="C3" s="35">
        <f>--TEXT(B3,"yyyy")</f>
        <v>2019</v>
      </c>
    </row>
    <row r="4" spans="2:8" x14ac:dyDescent="0.15">
      <c r="B4" s="7">
        <v>43593</v>
      </c>
      <c r="C4" s="35">
        <f>--TEXT(B4,"yyyy")</f>
        <v>2019</v>
      </c>
    </row>
    <row r="5" spans="2:8" x14ac:dyDescent="0.15">
      <c r="B5" s="7">
        <v>43594</v>
      </c>
      <c r="C5" s="35">
        <f>--TEXT(B5,"yyyy")</f>
        <v>2019</v>
      </c>
    </row>
    <row r="6" spans="2:8" x14ac:dyDescent="0.15">
      <c r="B6" s="7">
        <v>43595</v>
      </c>
      <c r="C6" s="35">
        <f>--TEXT(B6,"yyyy")</f>
        <v>2019</v>
      </c>
    </row>
    <row r="7" spans="2:8" x14ac:dyDescent="0.15">
      <c r="B7" s="7">
        <v>43596</v>
      </c>
      <c r="C7" s="35">
        <f>--TEXT(B7,"yyyy")</f>
        <v>2019</v>
      </c>
    </row>
    <row r="8" spans="2:8" x14ac:dyDescent="0.15">
      <c r="B8" s="7">
        <v>43597</v>
      </c>
      <c r="C8" s="35">
        <f>--TEXT(B8,"yyyy")</f>
        <v>2019</v>
      </c>
    </row>
    <row r="9" spans="2:8" x14ac:dyDescent="0.15">
      <c r="B9" s="7">
        <v>43598</v>
      </c>
      <c r="C9" s="35">
        <f>--TEXT(B9,"yyyy")</f>
        <v>2019</v>
      </c>
    </row>
    <row r="10" spans="2:8" x14ac:dyDescent="0.15">
      <c r="B10" s="7">
        <v>43599</v>
      </c>
      <c r="C10" s="35">
        <f>--TEXT(B10,"yyyy")</f>
        <v>2019</v>
      </c>
    </row>
    <row r="11" spans="2:8" x14ac:dyDescent="0.15">
      <c r="H11" s="7"/>
    </row>
    <row r="14" spans="2:8" x14ac:dyDescent="0.15">
      <c r="E14" s="7">
        <v>1.000011574074074</v>
      </c>
    </row>
    <row r="15" spans="2:8" x14ac:dyDescent="0.15">
      <c r="E15" s="35">
        <v>40000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39"/>
  <sheetViews>
    <sheetView workbookViewId="0">
      <selection activeCell="C33" sqref="C33"/>
    </sheetView>
  </sheetViews>
  <sheetFormatPr defaultRowHeight="13.5" x14ac:dyDescent="0.15"/>
  <cols>
    <col min="1" max="1" width="9" style="6"/>
    <col min="2" max="2" width="14" style="6" bestFit="1" customWidth="1"/>
    <col min="3" max="6" width="9" style="6"/>
    <col min="7" max="7" width="16.625" style="6" bestFit="1" customWidth="1"/>
    <col min="8" max="16384" width="9" style="6"/>
  </cols>
  <sheetData>
    <row r="2" spans="2:5" x14ac:dyDescent="0.15">
      <c r="B2" s="10" t="s">
        <v>4</v>
      </c>
    </row>
    <row r="3" spans="2:5" x14ac:dyDescent="0.15">
      <c r="B3" s="13" t="s">
        <v>19</v>
      </c>
      <c r="C3" s="11" t="s">
        <v>17</v>
      </c>
      <c r="D3" s="11"/>
      <c r="E3" s="11" t="s">
        <v>15</v>
      </c>
    </row>
    <row r="4" spans="2:5" x14ac:dyDescent="0.15">
      <c r="B4" s="11"/>
      <c r="C4" s="11"/>
      <c r="D4" s="11" t="s">
        <v>15</v>
      </c>
      <c r="E4" s="11"/>
    </row>
    <row r="5" spans="2:5" x14ac:dyDescent="0.15">
      <c r="B5" s="11" t="s">
        <v>15</v>
      </c>
      <c r="C5" s="11" t="s">
        <v>16</v>
      </c>
      <c r="D5" s="11" t="s">
        <v>17</v>
      </c>
      <c r="E5" s="11" t="s">
        <v>16</v>
      </c>
    </row>
    <row r="6" spans="2:5" x14ac:dyDescent="0.15">
      <c r="B6" s="11"/>
      <c r="C6" s="11" t="s">
        <v>17</v>
      </c>
      <c r="D6" s="11"/>
      <c r="E6" s="11"/>
    </row>
    <row r="7" spans="2:5" x14ac:dyDescent="0.15">
      <c r="B7" s="11" t="s">
        <v>16</v>
      </c>
      <c r="C7" s="11"/>
      <c r="D7" s="11" t="s">
        <v>16</v>
      </c>
      <c r="E7" s="11"/>
    </row>
    <row r="8" spans="2:5" x14ac:dyDescent="0.15">
      <c r="B8" s="11"/>
      <c r="C8" s="11"/>
      <c r="D8" s="11"/>
      <c r="E8" s="11" t="s">
        <v>17</v>
      </c>
    </row>
    <row r="9" spans="2:5" x14ac:dyDescent="0.15">
      <c r="B9" s="11"/>
      <c r="C9" s="11" t="s">
        <v>16</v>
      </c>
      <c r="D9" s="11" t="s">
        <v>15</v>
      </c>
      <c r="E9" s="11"/>
    </row>
    <row r="11" spans="2:5" hidden="1" x14ac:dyDescent="0.15">
      <c r="B11" s="9" t="s">
        <v>18</v>
      </c>
    </row>
    <row r="12" spans="2:5" hidden="1" x14ac:dyDescent="0.15">
      <c r="B12" s="13" t="s">
        <v>16</v>
      </c>
      <c r="C12" s="11" t="s">
        <v>17</v>
      </c>
      <c r="D12" s="11" t="s">
        <v>14</v>
      </c>
      <c r="E12" s="11" t="s">
        <v>15</v>
      </c>
    </row>
    <row r="13" spans="2:5" hidden="1" x14ac:dyDescent="0.15">
      <c r="B13" s="11" t="s">
        <v>14</v>
      </c>
      <c r="C13" s="11" t="s">
        <v>14</v>
      </c>
      <c r="D13" s="11" t="s">
        <v>15</v>
      </c>
      <c r="E13" s="11" t="s">
        <v>14</v>
      </c>
    </row>
    <row r="14" spans="2:5" hidden="1" x14ac:dyDescent="0.15">
      <c r="B14" s="11" t="s">
        <v>15</v>
      </c>
      <c r="C14" s="11" t="s">
        <v>16</v>
      </c>
      <c r="D14" s="11" t="s">
        <v>17</v>
      </c>
      <c r="E14" s="11" t="s">
        <v>16</v>
      </c>
    </row>
    <row r="15" spans="2:5" hidden="1" x14ac:dyDescent="0.15">
      <c r="B15" s="11" t="s">
        <v>14</v>
      </c>
      <c r="C15" s="11" t="s">
        <v>17</v>
      </c>
      <c r="D15" s="11" t="s">
        <v>14</v>
      </c>
      <c r="E15" s="11" t="s">
        <v>14</v>
      </c>
    </row>
    <row r="16" spans="2:5" hidden="1" x14ac:dyDescent="0.15">
      <c r="B16" s="11" t="s">
        <v>16</v>
      </c>
      <c r="C16" s="11" t="s">
        <v>14</v>
      </c>
      <c r="D16" s="11" t="s">
        <v>16</v>
      </c>
      <c r="E16" s="11" t="s">
        <v>14</v>
      </c>
    </row>
    <row r="17" spans="2:5" hidden="1" x14ac:dyDescent="0.15">
      <c r="B17" s="11" t="s">
        <v>14</v>
      </c>
      <c r="C17" s="11" t="s">
        <v>14</v>
      </c>
      <c r="D17" s="11" t="s">
        <v>14</v>
      </c>
      <c r="E17" s="11" t="s">
        <v>17</v>
      </c>
    </row>
    <row r="18" spans="2:5" hidden="1" x14ac:dyDescent="0.15">
      <c r="B18" s="11" t="s">
        <v>14</v>
      </c>
      <c r="C18" s="11" t="s">
        <v>16</v>
      </c>
      <c r="D18" s="11" t="s">
        <v>15</v>
      </c>
      <c r="E18" s="11" t="s">
        <v>14</v>
      </c>
    </row>
    <row r="19" spans="2:5" hidden="1" x14ac:dyDescent="0.15"/>
    <row r="20" spans="2:5" hidden="1" x14ac:dyDescent="0.15">
      <c r="B20" s="9" t="s">
        <v>13</v>
      </c>
    </row>
    <row r="21" spans="2:5" hidden="1" x14ac:dyDescent="0.15">
      <c r="B21" s="13" t="str">
        <f>IF(ISBLANK(B3),"猫",B3)</f>
        <v>驴</v>
      </c>
      <c r="C21" s="11" t="str">
        <f>IF(ISBLANK(C3),"猫",C3)</f>
        <v>狮子</v>
      </c>
      <c r="D21" s="11" t="str">
        <f>IF(ISBLANK(D3),"猫",D3)</f>
        <v>猫</v>
      </c>
      <c r="E21" s="11" t="str">
        <f>IF(ISBLANK(E3),"猫",E3)</f>
        <v>豹子</v>
      </c>
    </row>
    <row r="22" spans="2:5" hidden="1" x14ac:dyDescent="0.15">
      <c r="B22" s="11" t="str">
        <f>IF(ISBLANK(B4),"猫",B4)</f>
        <v>猫</v>
      </c>
      <c r="C22" s="11" t="str">
        <f>IF(ISBLANK(C4),"猫",C4)</f>
        <v>猫</v>
      </c>
      <c r="D22" s="11" t="str">
        <f>IF(ISBLANK(D4),"猫",D4)</f>
        <v>豹子</v>
      </c>
      <c r="E22" s="11" t="str">
        <f>IF(ISBLANK(E4),"猫",E4)</f>
        <v>猫</v>
      </c>
    </row>
    <row r="23" spans="2:5" hidden="1" x14ac:dyDescent="0.15">
      <c r="B23" s="11" t="str">
        <f>IF(ISBLANK(B5),"猫",B5)</f>
        <v>豹子</v>
      </c>
      <c r="C23" s="11" t="str">
        <f>IF(ISBLANK(C5),"猫",C5)</f>
        <v>老虎</v>
      </c>
      <c r="D23" s="11" t="str">
        <f>IF(ISBLANK(D5),"猫",D5)</f>
        <v>狮子</v>
      </c>
      <c r="E23" s="11" t="str">
        <f>IF(ISBLANK(E5),"猫",E5)</f>
        <v>老虎</v>
      </c>
    </row>
    <row r="24" spans="2:5" hidden="1" x14ac:dyDescent="0.15">
      <c r="B24" s="11" t="str">
        <f>IF(ISBLANK(B6),"猫",B6)</f>
        <v>猫</v>
      </c>
      <c r="C24" s="11" t="str">
        <f>IF(ISBLANK(C6),"猫",C6)</f>
        <v>狮子</v>
      </c>
      <c r="D24" s="11" t="str">
        <f>IF(ISBLANK(D6),"猫",D6)</f>
        <v>猫</v>
      </c>
      <c r="E24" s="11" t="str">
        <f>IF(ISBLANK(E6),"猫",E6)</f>
        <v>猫</v>
      </c>
    </row>
    <row r="25" spans="2:5" hidden="1" x14ac:dyDescent="0.15">
      <c r="B25" s="11" t="str">
        <f>IF(ISBLANK(B7),"猫",B7)</f>
        <v>老虎</v>
      </c>
      <c r="C25" s="11" t="str">
        <f>IF(ISBLANK(C7),"猫",C7)</f>
        <v>猫</v>
      </c>
      <c r="D25" s="11" t="str">
        <f>IF(ISBLANK(D7),"猫",D7)</f>
        <v>老虎</v>
      </c>
      <c r="E25" s="11" t="str">
        <f>IF(ISBLANK(E7),"猫",E7)</f>
        <v>猫</v>
      </c>
    </row>
    <row r="26" spans="2:5" hidden="1" x14ac:dyDescent="0.15">
      <c r="B26" s="11" t="str">
        <f>IF(ISBLANK(B8),"猫",B8)</f>
        <v>猫</v>
      </c>
      <c r="C26" s="11" t="str">
        <f>IF(ISBLANK(C8),"猫",C8)</f>
        <v>猫</v>
      </c>
      <c r="D26" s="11" t="str">
        <f>IF(ISBLANK(D8),"猫",D8)</f>
        <v>猫</v>
      </c>
      <c r="E26" s="11" t="str">
        <f>IF(ISBLANK(E8),"猫",E8)</f>
        <v>狮子</v>
      </c>
    </row>
    <row r="27" spans="2:5" hidden="1" x14ac:dyDescent="0.15">
      <c r="B27" s="11" t="str">
        <f>IF(ISBLANK(B9),"猫",B9)</f>
        <v>猫</v>
      </c>
      <c r="C27" s="11" t="str">
        <f>IF(ISBLANK(C9),"猫",C9)</f>
        <v>老虎</v>
      </c>
      <c r="D27" s="11" t="str">
        <f>IF(ISBLANK(D9),"猫",D9)</f>
        <v>豹子</v>
      </c>
      <c r="E27" s="11" t="str">
        <f>IF(ISBLANK(E9),"猫",E9)</f>
        <v>猫</v>
      </c>
    </row>
    <row r="29" spans="2:5" x14ac:dyDescent="0.15">
      <c r="B29" s="9" t="s">
        <v>13</v>
      </c>
    </row>
    <row r="30" spans="2:5" x14ac:dyDescent="0.15">
      <c r="B30" s="13" t="str">
        <f>IF(ISBLANK(B3),B$39,B3)</f>
        <v>驴</v>
      </c>
      <c r="C30" s="11" t="str">
        <f>IF(ISBLANK(C3),C$39,C3)</f>
        <v>狮子</v>
      </c>
      <c r="D30" s="11" t="str">
        <f>IF(ISBLANK(D3),D$39,D3)</f>
        <v>朱雀</v>
      </c>
      <c r="E30" s="11" t="str">
        <f>IF(ISBLANK(E3),E$39,E3)</f>
        <v>豹子</v>
      </c>
    </row>
    <row r="31" spans="2:5" x14ac:dyDescent="0.15">
      <c r="B31" s="11" t="str">
        <f>IF(ISBLANK(B4),B$39,B4)</f>
        <v>青龙</v>
      </c>
      <c r="C31" s="11" t="str">
        <f>IF(ISBLANK(C4),C$39,C4)</f>
        <v>白虎</v>
      </c>
      <c r="D31" s="11" t="str">
        <f>IF(ISBLANK(D4),D$39,D4)</f>
        <v>豹子</v>
      </c>
      <c r="E31" s="11" t="str">
        <f>IF(ISBLANK(E4),E$39,E4)</f>
        <v>玄武</v>
      </c>
    </row>
    <row r="32" spans="2:5" x14ac:dyDescent="0.15">
      <c r="B32" s="11" t="str">
        <f>IF(ISBLANK(B5),B$39,B5)</f>
        <v>豹子</v>
      </c>
      <c r="C32" s="11" t="str">
        <f>IF(ISBLANK(C5),C$39,C5)</f>
        <v>老虎</v>
      </c>
      <c r="D32" s="11" t="str">
        <f>IF(ISBLANK(D5),D$39,D5)</f>
        <v>狮子</v>
      </c>
      <c r="E32" s="11" t="str">
        <f>IF(ISBLANK(E5),E$39,E5)</f>
        <v>老虎</v>
      </c>
    </row>
    <row r="33" spans="2:5" x14ac:dyDescent="0.15">
      <c r="B33" s="11" t="str">
        <f>IF(ISBLANK(B6),B$39,B6)</f>
        <v>青龙</v>
      </c>
      <c r="C33" s="11" t="str">
        <f>IF(ISBLANK(C6),C$39,C6)</f>
        <v>狮子</v>
      </c>
      <c r="D33" s="11" t="str">
        <f>IF(ISBLANK(D6),D$39,D6)</f>
        <v>朱雀</v>
      </c>
      <c r="E33" s="11" t="str">
        <f>IF(ISBLANK(E6),E$39,E6)</f>
        <v>玄武</v>
      </c>
    </row>
    <row r="34" spans="2:5" x14ac:dyDescent="0.15">
      <c r="B34" s="11" t="str">
        <f>IF(ISBLANK(B7),B$39,B7)</f>
        <v>老虎</v>
      </c>
      <c r="C34" s="11" t="str">
        <f>IF(ISBLANK(C7),C$39,C7)</f>
        <v>白虎</v>
      </c>
      <c r="D34" s="11" t="str">
        <f>IF(ISBLANK(D7),D$39,D7)</f>
        <v>老虎</v>
      </c>
      <c r="E34" s="11" t="str">
        <f>IF(ISBLANK(E7),E$39,E7)</f>
        <v>玄武</v>
      </c>
    </row>
    <row r="35" spans="2:5" x14ac:dyDescent="0.15">
      <c r="B35" s="11" t="str">
        <f>IF(ISBLANK(B8),B$39,B8)</f>
        <v>青龙</v>
      </c>
      <c r="C35" s="11" t="str">
        <f>IF(ISBLANK(C8),C$39,C8)</f>
        <v>白虎</v>
      </c>
      <c r="D35" s="11" t="str">
        <f>IF(ISBLANK(D8),D$39,D8)</f>
        <v>朱雀</v>
      </c>
      <c r="E35" s="11" t="str">
        <f>IF(ISBLANK(E8),E$39,E8)</f>
        <v>狮子</v>
      </c>
    </row>
    <row r="36" spans="2:5" x14ac:dyDescent="0.15">
      <c r="B36" s="11" t="str">
        <f>IF(ISBLANK(B9),B$39,B9)</f>
        <v>青龙</v>
      </c>
      <c r="C36" s="11" t="str">
        <f>IF(ISBLANK(C9),C$39,C9)</f>
        <v>老虎</v>
      </c>
      <c r="D36" s="11" t="str">
        <f>IF(ISBLANK(D9),D$39,D9)</f>
        <v>豹子</v>
      </c>
      <c r="E36" s="11" t="str">
        <f>IF(ISBLANK(E9),E$39,E9)</f>
        <v>玄武</v>
      </c>
    </row>
    <row r="38" spans="2:5" x14ac:dyDescent="0.15">
      <c r="B38" s="12" t="s">
        <v>12</v>
      </c>
    </row>
    <row r="39" spans="2:5" x14ac:dyDescent="0.15">
      <c r="B39" s="11" t="s">
        <v>11</v>
      </c>
      <c r="C39" s="11" t="s">
        <v>10</v>
      </c>
      <c r="D39" s="11" t="s">
        <v>9</v>
      </c>
      <c r="E39" s="11" t="s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1"/>
  <sheetViews>
    <sheetView workbookViewId="0">
      <selection activeCell="B2" sqref="B2:B11"/>
    </sheetView>
  </sheetViews>
  <sheetFormatPr defaultRowHeight="13.5" x14ac:dyDescent="0.15"/>
  <cols>
    <col min="1" max="1" width="9" style="6"/>
    <col min="2" max="2" width="9.5" style="6" bestFit="1" customWidth="1"/>
    <col min="3" max="4" width="14" style="6" bestFit="1" customWidth="1"/>
    <col min="5" max="16384" width="9" style="6"/>
  </cols>
  <sheetData>
    <row r="1" spans="2:4" x14ac:dyDescent="0.15">
      <c r="B1" s="10" t="s">
        <v>22</v>
      </c>
      <c r="C1" s="9" t="s">
        <v>21</v>
      </c>
      <c r="D1" s="9" t="s">
        <v>20</v>
      </c>
    </row>
    <row r="2" spans="2:4" x14ac:dyDescent="0.15">
      <c r="B2" s="35">
        <v>100</v>
      </c>
      <c r="C2" s="15">
        <f>B2</f>
        <v>100</v>
      </c>
      <c r="D2" s="14" t="str">
        <f>B2&amp;"米"</f>
        <v>100米</v>
      </c>
    </row>
    <row r="3" spans="2:4" x14ac:dyDescent="0.15">
      <c r="B3" s="35">
        <v>200</v>
      </c>
      <c r="C3" s="15">
        <f>B3</f>
        <v>200</v>
      </c>
      <c r="D3" s="14" t="str">
        <f>B3&amp;"米"</f>
        <v>200米</v>
      </c>
    </row>
    <row r="4" spans="2:4" x14ac:dyDescent="0.15">
      <c r="B4" s="35">
        <v>300</v>
      </c>
      <c r="C4" s="15">
        <f>B4</f>
        <v>300</v>
      </c>
      <c r="D4" s="14" t="str">
        <f>B4&amp;"米"</f>
        <v>300米</v>
      </c>
    </row>
    <row r="5" spans="2:4" x14ac:dyDescent="0.15">
      <c r="B5" s="35">
        <v>400</v>
      </c>
      <c r="C5" s="15">
        <f>B5</f>
        <v>400</v>
      </c>
      <c r="D5" s="14" t="str">
        <f>B5&amp;"米"</f>
        <v>400米</v>
      </c>
    </row>
    <row r="6" spans="2:4" x14ac:dyDescent="0.15">
      <c r="B6" s="35">
        <v>500</v>
      </c>
      <c r="C6" s="15">
        <f>B6</f>
        <v>500</v>
      </c>
      <c r="D6" s="14" t="str">
        <f>B6&amp;"米"</f>
        <v>500米</v>
      </c>
    </row>
    <row r="7" spans="2:4" x14ac:dyDescent="0.15">
      <c r="B7" s="35">
        <v>600</v>
      </c>
      <c r="C7" s="15">
        <f>B7</f>
        <v>600</v>
      </c>
      <c r="D7" s="14" t="str">
        <f>B7&amp;"米"</f>
        <v>600米</v>
      </c>
    </row>
    <row r="8" spans="2:4" x14ac:dyDescent="0.15">
      <c r="B8" s="35">
        <v>700</v>
      </c>
      <c r="C8" s="15">
        <f>B8</f>
        <v>700</v>
      </c>
      <c r="D8" s="14" t="str">
        <f>B8&amp;"米"</f>
        <v>700米</v>
      </c>
    </row>
    <row r="9" spans="2:4" x14ac:dyDescent="0.15">
      <c r="B9" s="35">
        <v>800</v>
      </c>
      <c r="C9" s="15">
        <f>B9</f>
        <v>800</v>
      </c>
      <c r="D9" s="14" t="str">
        <f>B9&amp;"米"</f>
        <v>800米</v>
      </c>
    </row>
    <row r="10" spans="2:4" x14ac:dyDescent="0.15">
      <c r="B10" s="35">
        <v>900</v>
      </c>
      <c r="C10" s="15">
        <f>B10</f>
        <v>900</v>
      </c>
      <c r="D10" s="14" t="str">
        <f>B10&amp;"米"</f>
        <v>900米</v>
      </c>
    </row>
    <row r="11" spans="2:4" x14ac:dyDescent="0.15">
      <c r="B11" s="35">
        <v>1000</v>
      </c>
      <c r="C11" s="15">
        <f>B11</f>
        <v>1000</v>
      </c>
      <c r="D11" s="14" t="str">
        <f>B11&amp;"米"</f>
        <v>1000米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3"/>
  <sheetViews>
    <sheetView workbookViewId="0">
      <selection activeCell="E16" sqref="E16"/>
    </sheetView>
  </sheetViews>
  <sheetFormatPr defaultRowHeight="13.5" x14ac:dyDescent="0.15"/>
  <cols>
    <col min="1" max="16384" width="9" style="6"/>
  </cols>
  <sheetData>
    <row r="1" spans="2:9" x14ac:dyDescent="0.15">
      <c r="B1" s="10" t="s">
        <v>4</v>
      </c>
      <c r="G1" s="9" t="s">
        <v>5</v>
      </c>
    </row>
    <row r="2" spans="2:9" x14ac:dyDescent="0.15">
      <c r="B2" s="17" t="s">
        <v>26</v>
      </c>
      <c r="C2" s="17" t="s">
        <v>33</v>
      </c>
      <c r="D2" s="17" t="s">
        <v>32</v>
      </c>
      <c r="E2" s="17" t="s">
        <v>25</v>
      </c>
      <c r="G2" s="16" t="s">
        <v>33</v>
      </c>
      <c r="H2" s="16" t="s">
        <v>25</v>
      </c>
      <c r="I2" s="18" t="s">
        <v>37</v>
      </c>
    </row>
    <row r="3" spans="2:9" x14ac:dyDescent="0.15">
      <c r="B3" s="11" t="s">
        <v>36</v>
      </c>
      <c r="C3" s="11" t="s">
        <v>30</v>
      </c>
      <c r="D3" s="36">
        <v>9.8000000000000007</v>
      </c>
      <c r="E3" s="36">
        <v>6</v>
      </c>
      <c r="G3" s="11" t="s">
        <v>30</v>
      </c>
      <c r="H3" s="36">
        <f>SUMIFS(E:E,C:C,G3)</f>
        <v>13</v>
      </c>
      <c r="I3" s="35">
        <f>SUMIF(C:C,G3,E:E)</f>
        <v>13</v>
      </c>
    </row>
    <row r="4" spans="2:9" x14ac:dyDescent="0.15">
      <c r="B4" s="11" t="s">
        <v>35</v>
      </c>
      <c r="C4" s="11" t="s">
        <v>30</v>
      </c>
      <c r="D4" s="36">
        <v>0.98</v>
      </c>
      <c r="E4" s="36">
        <v>5</v>
      </c>
      <c r="G4" s="11" t="s">
        <v>28</v>
      </c>
      <c r="H4" s="36">
        <f>SUMIFS(E:E,C:C,G4)</f>
        <v>7</v>
      </c>
      <c r="I4" s="35">
        <f>SUMIF(C:C,G4,E:E)</f>
        <v>7</v>
      </c>
    </row>
    <row r="5" spans="2:9" x14ac:dyDescent="0.15">
      <c r="B5" s="11" t="s">
        <v>34</v>
      </c>
      <c r="C5" s="11" t="s">
        <v>30</v>
      </c>
      <c r="D5" s="36">
        <v>19.8</v>
      </c>
      <c r="E5" s="36">
        <v>2</v>
      </c>
      <c r="H5" s="35"/>
      <c r="I5" s="35"/>
    </row>
    <row r="6" spans="2:9" x14ac:dyDescent="0.15">
      <c r="B6" s="11" t="s">
        <v>34</v>
      </c>
      <c r="C6" s="11" t="s">
        <v>28</v>
      </c>
      <c r="D6" s="36">
        <v>9998</v>
      </c>
      <c r="E6" s="36">
        <v>3</v>
      </c>
      <c r="G6" s="17" t="s">
        <v>33</v>
      </c>
      <c r="H6" s="37" t="s">
        <v>32</v>
      </c>
      <c r="I6" s="37" t="s">
        <v>25</v>
      </c>
    </row>
    <row r="7" spans="2:9" x14ac:dyDescent="0.15">
      <c r="B7" s="11" t="s">
        <v>31</v>
      </c>
      <c r="C7" s="11" t="s">
        <v>28</v>
      </c>
      <c r="D7" s="36">
        <v>998</v>
      </c>
      <c r="E7" s="36">
        <v>4</v>
      </c>
      <c r="G7" s="11" t="s">
        <v>30</v>
      </c>
      <c r="H7" s="36" t="s">
        <v>29</v>
      </c>
      <c r="I7" s="36">
        <f>SUMIFS(E:E,C:C,G7,D:D,H7)</f>
        <v>5</v>
      </c>
    </row>
    <row r="8" spans="2:9" x14ac:dyDescent="0.15">
      <c r="D8" s="35"/>
      <c r="E8" s="35"/>
      <c r="G8" s="11" t="s">
        <v>28</v>
      </c>
      <c r="H8" s="36" t="s">
        <v>27</v>
      </c>
      <c r="I8" s="36">
        <f>SUMIFS(E:E,C:C,G8,D:D,H8)</f>
        <v>0</v>
      </c>
    </row>
    <row r="9" spans="2:9" x14ac:dyDescent="0.15">
      <c r="D9" s="35"/>
      <c r="E9" s="35"/>
      <c r="H9" s="35"/>
      <c r="I9" s="35"/>
    </row>
    <row r="10" spans="2:9" x14ac:dyDescent="0.15">
      <c r="D10" s="35"/>
      <c r="E10" s="35"/>
      <c r="G10" s="16" t="s">
        <v>26</v>
      </c>
      <c r="H10" s="38" t="s">
        <v>25</v>
      </c>
      <c r="I10" s="35"/>
    </row>
    <row r="11" spans="2:9" x14ac:dyDescent="0.15">
      <c r="G11" s="11" t="s">
        <v>24</v>
      </c>
      <c r="H11" s="36">
        <f>SUMIFS(E:E,B:B,G11)</f>
        <v>5</v>
      </c>
      <c r="I11" s="35"/>
    </row>
    <row r="12" spans="2:9" x14ac:dyDescent="0.15">
      <c r="G12" s="11" t="s">
        <v>23</v>
      </c>
      <c r="H12" s="36">
        <f>SUMIFS(E:E,B:B,G12)</f>
        <v>4</v>
      </c>
      <c r="I12" s="35"/>
    </row>
    <row r="13" spans="2:9" x14ac:dyDescent="0.15">
      <c r="H13" s="35"/>
      <c r="I13" s="3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1"/>
  <sheetViews>
    <sheetView workbookViewId="0">
      <selection activeCell="G3" sqref="G3"/>
    </sheetView>
  </sheetViews>
  <sheetFormatPr defaultRowHeight="13.5" x14ac:dyDescent="0.15"/>
  <cols>
    <col min="1" max="1" width="9" style="6"/>
    <col min="2" max="2" width="15.25" style="6" bestFit="1" customWidth="1"/>
    <col min="3" max="3" width="14.375" style="6" bestFit="1" customWidth="1"/>
    <col min="4" max="4" width="10.5" style="6" bestFit="1" customWidth="1"/>
    <col min="5" max="5" width="10.5" style="6" customWidth="1"/>
    <col min="6" max="16384" width="9" style="6"/>
  </cols>
  <sheetData>
    <row r="2" spans="2:8" x14ac:dyDescent="0.15">
      <c r="B2" s="31" t="s">
        <v>57</v>
      </c>
      <c r="C2" s="17" t="s">
        <v>56</v>
      </c>
      <c r="D2" s="17" t="s">
        <v>55</v>
      </c>
      <c r="E2" s="30"/>
      <c r="G2" s="17" t="s">
        <v>54</v>
      </c>
      <c r="H2" s="17" t="s">
        <v>53</v>
      </c>
    </row>
    <row r="3" spans="2:8" x14ac:dyDescent="0.15">
      <c r="B3" s="11" t="s">
        <v>52</v>
      </c>
      <c r="C3" s="39">
        <v>43601</v>
      </c>
      <c r="D3" s="21">
        <f>C3+1</f>
        <v>43602</v>
      </c>
      <c r="E3" s="20"/>
      <c r="G3" s="11" t="s">
        <v>51</v>
      </c>
      <c r="H3" s="36">
        <v>7</v>
      </c>
    </row>
    <row r="4" spans="2:8" x14ac:dyDescent="0.15">
      <c r="B4" s="11" t="s">
        <v>50</v>
      </c>
      <c r="C4" s="29">
        <v>43601</v>
      </c>
      <c r="D4" s="21">
        <f>C4+1</f>
        <v>43602</v>
      </c>
      <c r="E4" s="20" t="str">
        <f>TEXT(D4,"0.00")</f>
        <v>43602.00</v>
      </c>
      <c r="G4" s="11" t="s">
        <v>49</v>
      </c>
      <c r="H4" s="36">
        <v>7.7</v>
      </c>
    </row>
    <row r="5" spans="2:8" x14ac:dyDescent="0.15">
      <c r="B5" s="11" t="s">
        <v>48</v>
      </c>
      <c r="C5" s="28">
        <v>43601</v>
      </c>
      <c r="D5" s="21">
        <f>C5+1</f>
        <v>43602</v>
      </c>
      <c r="E5" s="20"/>
      <c r="G5" s="11" t="s">
        <v>47</v>
      </c>
      <c r="H5" s="11" t="s">
        <v>46</v>
      </c>
    </row>
    <row r="6" spans="2:8" x14ac:dyDescent="0.15">
      <c r="B6" s="11" t="s">
        <v>45</v>
      </c>
      <c r="C6" s="27">
        <v>43601</v>
      </c>
      <c r="D6" s="21">
        <f>C6+1</f>
        <v>43602</v>
      </c>
      <c r="E6" s="20" t="str">
        <f>TEXT(D6,"yyyy/m/d")</f>
        <v>2019/5/17</v>
      </c>
      <c r="G6" s="24" t="s">
        <v>44</v>
      </c>
      <c r="H6" s="11" t="b">
        <v>1</v>
      </c>
    </row>
    <row r="7" spans="2:8" x14ac:dyDescent="0.15">
      <c r="B7" s="11" t="s">
        <v>43</v>
      </c>
      <c r="C7" s="26">
        <v>43601</v>
      </c>
      <c r="D7" s="21">
        <f>C7+1</f>
        <v>43602</v>
      </c>
      <c r="E7" s="20"/>
      <c r="G7" s="11" t="s">
        <v>42</v>
      </c>
      <c r="H7" s="11" t="e">
        <f>1/0</f>
        <v>#DIV/0!</v>
      </c>
    </row>
    <row r="8" spans="2:8" x14ac:dyDescent="0.15">
      <c r="B8" s="11" t="s">
        <v>41</v>
      </c>
      <c r="C8" s="25">
        <v>43601</v>
      </c>
      <c r="D8" s="21">
        <f>C8+1</f>
        <v>43602</v>
      </c>
      <c r="E8" s="20"/>
      <c r="G8" s="24" t="s">
        <v>40</v>
      </c>
      <c r="H8" s="11"/>
    </row>
    <row r="9" spans="2:8" x14ac:dyDescent="0.15">
      <c r="B9" s="11" t="s">
        <v>39</v>
      </c>
      <c r="C9" s="23">
        <v>43601</v>
      </c>
      <c r="D9" s="21">
        <f>C9+1</f>
        <v>43602</v>
      </c>
      <c r="E9" s="20"/>
    </row>
    <row r="10" spans="2:8" x14ac:dyDescent="0.15">
      <c r="B10" s="11" t="s">
        <v>38</v>
      </c>
      <c r="C10" s="22">
        <v>43601</v>
      </c>
      <c r="D10" s="21">
        <f>C10+1</f>
        <v>43602</v>
      </c>
      <c r="E10" s="20" t="str">
        <f>TEXT(D10,"0人民币")</f>
        <v>43602人民币</v>
      </c>
    </row>
    <row r="11" spans="2:8" x14ac:dyDescent="0.15">
      <c r="E11" s="1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selection activeCell="G2" sqref="G2"/>
    </sheetView>
  </sheetViews>
  <sheetFormatPr defaultRowHeight="13.5" x14ac:dyDescent="0.15"/>
  <cols>
    <col min="1" max="2" width="15" customWidth="1"/>
    <col min="3" max="5" width="9" customWidth="1"/>
  </cols>
  <sheetData>
    <row r="1" spans="1:7" x14ac:dyDescent="0.15">
      <c r="A1" s="1" t="s">
        <v>4</v>
      </c>
      <c r="B1" s="2" t="s">
        <v>6</v>
      </c>
      <c r="C1" s="3" t="s">
        <v>5</v>
      </c>
    </row>
    <row r="2" spans="1:7" x14ac:dyDescent="0.15">
      <c r="A2" s="4" t="s">
        <v>3</v>
      </c>
      <c r="B2" s="5" t="str">
        <f>SUBSTITUTE(A2,",","+")</f>
        <v>1+3+4</v>
      </c>
      <c r="C2" s="2">
        <f>计算</f>
        <v>8</v>
      </c>
      <c r="G2" t="s">
        <v>7</v>
      </c>
    </row>
    <row r="3" spans="1:7" x14ac:dyDescent="0.15">
      <c r="A3" s="2" t="s">
        <v>0</v>
      </c>
      <c r="B3" s="2" t="str">
        <f t="shared" ref="B3:B6" si="0">SUBSTITUTE(A3,",","+")</f>
        <v>20+30+40</v>
      </c>
      <c r="C3" s="2">
        <f>计算</f>
        <v>90</v>
      </c>
    </row>
    <row r="4" spans="1:7" x14ac:dyDescent="0.15">
      <c r="A4" s="2">
        <v>618</v>
      </c>
      <c r="B4" s="2" t="str">
        <f t="shared" si="0"/>
        <v>618</v>
      </c>
      <c r="C4" s="2">
        <f>计算</f>
        <v>618</v>
      </c>
    </row>
    <row r="5" spans="1:7" x14ac:dyDescent="0.15">
      <c r="A5" s="2" t="s">
        <v>1</v>
      </c>
      <c r="B5" s="2" t="str">
        <f t="shared" si="0"/>
        <v>0.7+0.7+0.7</v>
      </c>
      <c r="C5" s="2">
        <f>计算</f>
        <v>2.0999999999999996</v>
      </c>
    </row>
    <row r="6" spans="1:7" x14ac:dyDescent="0.15">
      <c r="A6" s="2" t="s">
        <v>2</v>
      </c>
      <c r="B6" s="2" t="str">
        <f t="shared" si="0"/>
        <v>1+2+3+4+5+6+7</v>
      </c>
      <c r="C6" s="2">
        <f>计算</f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3"/>
  <sheetViews>
    <sheetView tabSelected="1" workbookViewId="0">
      <selection activeCell="E15" sqref="E15"/>
    </sheetView>
  </sheetViews>
  <sheetFormatPr defaultRowHeight="13.5" x14ac:dyDescent="0.15"/>
  <cols>
    <col min="1" max="1" width="9" style="6"/>
    <col min="2" max="2" width="8.5" style="6" bestFit="1" customWidth="1"/>
    <col min="3" max="3" width="8.25" style="6" bestFit="1" customWidth="1"/>
    <col min="4" max="4" width="9.625" style="6" bestFit="1" customWidth="1"/>
    <col min="5" max="5" width="12" style="6" bestFit="1" customWidth="1"/>
    <col min="6" max="6" width="8.5" style="6" bestFit="1" customWidth="1"/>
    <col min="7" max="7" width="9.625" style="6" bestFit="1" customWidth="1"/>
    <col min="8" max="8" width="7.375" style="6" bestFit="1" customWidth="1"/>
    <col min="9" max="16384" width="9" style="6"/>
  </cols>
  <sheetData>
    <row r="1" spans="2:8" x14ac:dyDescent="0.15">
      <c r="C1" s="34" t="s">
        <v>69</v>
      </c>
      <c r="D1" s="34" t="s">
        <v>68</v>
      </c>
      <c r="E1" s="34" t="s">
        <v>67</v>
      </c>
      <c r="F1" s="34" t="s">
        <v>66</v>
      </c>
      <c r="G1" s="34" t="s">
        <v>65</v>
      </c>
      <c r="H1" s="34" t="s">
        <v>64</v>
      </c>
    </row>
    <row r="2" spans="2:8" x14ac:dyDescent="0.15">
      <c r="B2" s="33" t="s">
        <v>4</v>
      </c>
      <c r="C2" s="32" t="s">
        <v>63</v>
      </c>
      <c r="D2" s="32" t="s">
        <v>62</v>
      </c>
      <c r="E2" s="32" t="s">
        <v>61</v>
      </c>
      <c r="F2" s="32" t="s">
        <v>60</v>
      </c>
      <c r="G2" s="32" t="s">
        <v>59</v>
      </c>
      <c r="H2" s="32" t="s">
        <v>58</v>
      </c>
    </row>
    <row r="3" spans="2:8" x14ac:dyDescent="0.15">
      <c r="B3" s="36">
        <v>102</v>
      </c>
      <c r="C3" s="36">
        <f>ROUND(B3,-2)</f>
        <v>100</v>
      </c>
      <c r="D3" s="36">
        <f>ROUNDUP(B3,-2)</f>
        <v>200</v>
      </c>
      <c r="E3" s="36">
        <f>ROUNDDOWN(B3,-2)</f>
        <v>100</v>
      </c>
      <c r="F3" s="36">
        <f>IFERROR(MROUND(B3,5),-MROUND(-B3,5))</f>
        <v>100</v>
      </c>
      <c r="G3" s="36">
        <f>CEILING(B3,5)</f>
        <v>105</v>
      </c>
      <c r="H3" s="36">
        <f>FLOOR(B3,5)</f>
        <v>100</v>
      </c>
    </row>
    <row r="4" spans="2:8" x14ac:dyDescent="0.15">
      <c r="B4" s="36">
        <v>201</v>
      </c>
      <c r="C4" s="36">
        <f>ROUND(B4,-2)</f>
        <v>200</v>
      </c>
      <c r="D4" s="36">
        <f>ROUNDUP(B4,-2)</f>
        <v>300</v>
      </c>
      <c r="E4" s="36">
        <f>ROUNDDOWN(B4,-2)</f>
        <v>200</v>
      </c>
      <c r="F4" s="36">
        <f>IFERROR(MROUND(B4,5),-MROUND(-B4,5))</f>
        <v>200</v>
      </c>
      <c r="G4" s="36">
        <f>CEILING(B4,5)</f>
        <v>205</v>
      </c>
      <c r="H4" s="36">
        <f>FLOOR(B4,5)</f>
        <v>200</v>
      </c>
    </row>
    <row r="5" spans="2:8" x14ac:dyDescent="0.15">
      <c r="B5" s="36">
        <v>98</v>
      </c>
      <c r="C5" s="36">
        <f>ROUND(B5,-2)</f>
        <v>100</v>
      </c>
      <c r="D5" s="36">
        <f>ROUNDUP(B5,-2)</f>
        <v>100</v>
      </c>
      <c r="E5" s="36">
        <f>ROUNDDOWN(B5,-2)</f>
        <v>0</v>
      </c>
      <c r="F5" s="36">
        <f>IFERROR(MROUND(B5,5),-MROUND(-B5,5))</f>
        <v>100</v>
      </c>
      <c r="G5" s="36">
        <f>CEILING(B5,5)</f>
        <v>100</v>
      </c>
      <c r="H5" s="36">
        <f>FLOOR(B5,5)</f>
        <v>95</v>
      </c>
    </row>
    <row r="6" spans="2:8" x14ac:dyDescent="0.15">
      <c r="B6" s="36">
        <v>167</v>
      </c>
      <c r="C6" s="36">
        <f>ROUND(B6,-2)</f>
        <v>200</v>
      </c>
      <c r="D6" s="36">
        <f>ROUNDUP(B6,-2)</f>
        <v>200</v>
      </c>
      <c r="E6" s="36">
        <f>ROUNDDOWN(B6,-2)</f>
        <v>100</v>
      </c>
      <c r="F6" s="36">
        <f>IFERROR(MROUND(B6,5),-MROUND(-B6,5))</f>
        <v>165</v>
      </c>
      <c r="G6" s="36">
        <f>CEILING(B6,5)</f>
        <v>170</v>
      </c>
      <c r="H6" s="36">
        <f>FLOOR(B6,5)</f>
        <v>165</v>
      </c>
    </row>
    <row r="7" spans="2:8" x14ac:dyDescent="0.15">
      <c r="B7" s="36">
        <v>50</v>
      </c>
      <c r="C7" s="36">
        <f>ROUND(B7,-2)</f>
        <v>100</v>
      </c>
      <c r="D7" s="36">
        <f>ROUNDUP(B7,-2)</f>
        <v>100</v>
      </c>
      <c r="E7" s="36">
        <f>ROUNDDOWN(B7,-2)</f>
        <v>0</v>
      </c>
      <c r="F7" s="36">
        <f>IFERROR(MROUND(B7,5),-MROUND(-B7,5))</f>
        <v>50</v>
      </c>
      <c r="G7" s="36">
        <f>CEILING(B7,5)</f>
        <v>50</v>
      </c>
      <c r="H7" s="36">
        <f>FLOOR(B7,5)</f>
        <v>50</v>
      </c>
    </row>
    <row r="8" spans="2:8" x14ac:dyDescent="0.15">
      <c r="B8" s="36">
        <v>649</v>
      </c>
      <c r="C8" s="36">
        <f>ROUND(B8,-2)</f>
        <v>600</v>
      </c>
      <c r="D8" s="36">
        <f>ROUNDUP(B8,-2)</f>
        <v>700</v>
      </c>
      <c r="E8" s="36">
        <f>ROUNDDOWN(B8,-2)</f>
        <v>600</v>
      </c>
      <c r="F8" s="36">
        <f>IFERROR(MROUND(B8,5),-MROUND(-B8,5))</f>
        <v>650</v>
      </c>
      <c r="G8" s="36">
        <f>CEILING(B8,5)</f>
        <v>650</v>
      </c>
      <c r="H8" s="36">
        <f>FLOOR(B8,5)</f>
        <v>645</v>
      </c>
    </row>
    <row r="9" spans="2:8" x14ac:dyDescent="0.15">
      <c r="B9" s="36">
        <v>-222</v>
      </c>
      <c r="C9" s="36">
        <f>ROUND(B9,-2)</f>
        <v>-200</v>
      </c>
      <c r="D9" s="36">
        <f>ROUNDUP(B9,-2)</f>
        <v>-300</v>
      </c>
      <c r="E9" s="36">
        <f>ROUNDDOWN(B9,-2)</f>
        <v>-200</v>
      </c>
      <c r="F9" s="36">
        <f>IFERROR(MROUND(B9,5),-MROUND(-B9,5))</f>
        <v>-220</v>
      </c>
      <c r="G9" s="36">
        <f>CEILING(B9,5)</f>
        <v>-220</v>
      </c>
      <c r="H9" s="36">
        <f>FLOOR(B9,5)</f>
        <v>-225</v>
      </c>
    </row>
    <row r="10" spans="2:8" x14ac:dyDescent="0.15">
      <c r="B10" s="35"/>
      <c r="C10" s="35"/>
      <c r="D10" s="35"/>
      <c r="E10" s="35"/>
      <c r="F10" s="35"/>
      <c r="G10" s="35"/>
      <c r="H10" s="35"/>
    </row>
    <row r="11" spans="2:8" x14ac:dyDescent="0.15">
      <c r="B11" s="35"/>
      <c r="C11" s="35"/>
      <c r="D11" s="35"/>
      <c r="E11" s="35"/>
      <c r="F11" s="35"/>
      <c r="G11" s="35"/>
      <c r="H11" s="35"/>
    </row>
    <row r="12" spans="2:8" x14ac:dyDescent="0.15">
      <c r="B12" s="35"/>
      <c r="C12" s="35"/>
      <c r="D12" s="35"/>
      <c r="E12" s="35"/>
      <c r="F12" s="35"/>
      <c r="G12" s="35"/>
      <c r="H12" s="35"/>
    </row>
    <row r="13" spans="2:8" x14ac:dyDescent="0.15">
      <c r="B13" s="35"/>
      <c r="C13" s="35"/>
      <c r="D13" s="35"/>
      <c r="E13" s="35"/>
      <c r="F13" s="35"/>
      <c r="G13" s="35"/>
      <c r="H13" s="35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001</vt:lpstr>
      <vt:lpstr>002</vt:lpstr>
      <vt:lpstr>003</vt:lpstr>
      <vt:lpstr>004</vt:lpstr>
      <vt:lpstr>005</vt:lpstr>
      <vt:lpstr>006</vt:lpstr>
      <vt:lpstr>007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</cp:lastModifiedBy>
  <dcterms:created xsi:type="dcterms:W3CDTF">2006-09-16T00:00:00Z</dcterms:created>
  <dcterms:modified xsi:type="dcterms:W3CDTF">2019-07-23T13:25:19Z</dcterms:modified>
</cp:coreProperties>
</file>